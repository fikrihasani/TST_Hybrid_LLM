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kri\Downloads\TST_fewshot_formality_hf_ref\evaluation_result\google_gemma-3-4b-it\"/>
    </mc:Choice>
  </mc:AlternateContent>
  <xr:revisionPtr revIDLastSave="0" documentId="13_ncr:1_{6271A3C4-2ABD-4D67-B3CE-602FDC27835B}" xr6:coauthVersionLast="47" xr6:coauthVersionMax="47" xr10:uidLastSave="{00000000-0000-0000-0000-000000000000}"/>
  <bookViews>
    <workbookView xWindow="-110" yWindow="-110" windowWidth="19420" windowHeight="11020" activeTab="1" xr2:uid="{B99D7B6E-3F45-4688-A795-F41E14CF08C7}"/>
  </bookViews>
  <sheets>
    <sheet name="summary_average_metrics" sheetId="1" r:id="rId1"/>
    <sheet name="Formal to Inform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M10" i="1"/>
  <c r="L4" i="1"/>
  <c r="M4" i="1" s="1"/>
  <c r="L5" i="1"/>
  <c r="L6" i="1"/>
  <c r="M6" i="1" s="1"/>
  <c r="L7" i="1"/>
  <c r="M7" i="1" s="1"/>
  <c r="L8" i="1"/>
  <c r="M8" i="1" s="1"/>
  <c r="L9" i="1"/>
  <c r="M9" i="1" s="1"/>
  <c r="L10" i="1"/>
  <c r="L3" i="1"/>
  <c r="M3" i="1" s="1"/>
  <c r="E10" i="2"/>
  <c r="E9" i="2"/>
  <c r="E8" i="2"/>
  <c r="E7" i="2"/>
  <c r="E6" i="2"/>
  <c r="E5" i="2"/>
  <c r="E4" i="2"/>
  <c r="E3" i="2"/>
  <c r="E4" i="1"/>
  <c r="E5" i="1"/>
  <c r="E6" i="1"/>
  <c r="E7" i="1"/>
  <c r="E8" i="1"/>
  <c r="E9" i="1"/>
  <c r="E10" i="1"/>
  <c r="E3" i="1"/>
</calcChain>
</file>

<file path=xl/sharedStrings.xml><?xml version="1.0" encoding="utf-8"?>
<sst xmlns="http://schemas.openxmlformats.org/spreadsheetml/2006/main" count="89" uniqueCount="44">
  <si>
    <t>file_name</t>
  </si>
  <si>
    <t>style_target</t>
  </si>
  <si>
    <t>retrieval_method</t>
  </si>
  <si>
    <t>alpha</t>
  </si>
  <si>
    <t>STIF_formal_fewshot_bm25_5_results.csv</t>
  </si>
  <si>
    <t>formal</t>
  </si>
  <si>
    <t>bm25</t>
  </si>
  <si>
    <t>STIF_formal_fewshot_centroid_5_results.csv</t>
  </si>
  <si>
    <t>centroid</t>
  </si>
  <si>
    <t>STIF_formal_fewshot_dense_5_results.csv</t>
  </si>
  <si>
    <t>dense</t>
  </si>
  <si>
    <t>STIF_formal_fewshot_hybrid_early_alpha0.1_5_results.csv</t>
  </si>
  <si>
    <t>STIF_formal_fewshot_hybrid_early_alpha0.3_5_results.csv</t>
  </si>
  <si>
    <t>STIF_formal_fewshot_hybrid_early_alpha0.5_5_results.csv</t>
  </si>
  <si>
    <t>STIF_formal_fewshot_hybrid_early_alpha0.7_5_results.csv</t>
  </si>
  <si>
    <t>STIF_formal_fewshot_hybrid_early_alpha0.9_5_results.csv</t>
  </si>
  <si>
    <t>STIF_informal_fewshot_bm25_5_results.csv</t>
  </si>
  <si>
    <t>informal</t>
  </si>
  <si>
    <t>STIF_informal_fewshot_centroid_5_results.csv</t>
  </si>
  <si>
    <t>STIF_informal_fewshot_dense_5_results.csv</t>
  </si>
  <si>
    <t>STIF_informal_fewshot_hybrid_early_alpha0.1_5_results.csv</t>
  </si>
  <si>
    <t>STIF_informal_fewshot_hybrid_early_alpha0.3_5_results.csv</t>
  </si>
  <si>
    <t>STIF_informal_fewshot_hybrid_early_alpha0.5_5_results.csv</t>
  </si>
  <si>
    <t>STIF_informal_fewshot_hybrid_early_alpha0.7_5_results.csv</t>
  </si>
  <si>
    <t>STIF_informal_fewshot_hybrid_early_alpha0.9_5_results.csv</t>
  </si>
  <si>
    <t>Name</t>
  </si>
  <si>
    <t>hybrid α =</t>
  </si>
  <si>
    <t>pow</t>
  </si>
  <si>
    <t>G-score</t>
  </si>
  <si>
    <t>Content Perservation</t>
  </si>
  <si>
    <t>Median</t>
  </si>
  <si>
    <t>Average</t>
  </si>
  <si>
    <t>Style Strength</t>
  </si>
  <si>
    <t>Fluency Perplexity</t>
  </si>
  <si>
    <t>Fluenct Perplexity</t>
  </si>
  <si>
    <t>G-Score</t>
  </si>
  <si>
    <t xml:space="preserve">bm25 </t>
  </si>
  <si>
    <t xml:space="preserve">centroid </t>
  </si>
  <si>
    <t xml:space="preserve">dense </t>
  </si>
  <si>
    <t>hybrid α = 0.1</t>
  </si>
  <si>
    <t>hybrid α = 0.3</t>
  </si>
  <si>
    <t>hybrid α = 0.5</t>
  </si>
  <si>
    <t>hybrid α = 0.7</t>
  </si>
  <si>
    <t>hybrid α = 0.9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</si>
</sst>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96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D"/>
              <a:t>Content Perservation, Informal to Formal</a:t>
            </a:r>
          </a:p>
          <a:p>
            <a:pPr algn="ctr" rtl="0">
              <a:defRPr/>
            </a:pP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96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summary_average_metrics!$F$2</c:f>
              <c:strCache>
                <c:ptCount val="1"/>
                <c:pt idx="0">
                  <c:v>Median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summary_average_metrics!$E$3:$E$10</c:f>
              <c:strCache>
                <c:ptCount val="8"/>
                <c:pt idx="0">
                  <c:v>bm25 </c:v>
                </c:pt>
                <c:pt idx="1">
                  <c:v>centroid </c:v>
                </c:pt>
                <c:pt idx="2">
                  <c:v>dense </c:v>
                </c:pt>
                <c:pt idx="3">
                  <c:v>hybrid α = 0.1</c:v>
                </c:pt>
                <c:pt idx="4">
                  <c:v>hybrid α = 0.3</c:v>
                </c:pt>
                <c:pt idx="5">
                  <c:v>hybrid α = 0.5</c:v>
                </c:pt>
                <c:pt idx="6">
                  <c:v>hybrid α = 0.7</c:v>
                </c:pt>
                <c:pt idx="7">
                  <c:v>hybrid α = 0.9</c:v>
                </c:pt>
              </c:strCache>
            </c:strRef>
          </c:cat>
          <c:val>
            <c:numRef>
              <c:f>summary_average_metrics!$F$3:$F$10</c:f>
              <c:numCache>
                <c:formatCode>0.000</c:formatCode>
                <c:ptCount val="8"/>
                <c:pt idx="0">
                  <c:v>0.83264255523681596</c:v>
                </c:pt>
                <c:pt idx="1">
                  <c:v>0.79818704724311795</c:v>
                </c:pt>
                <c:pt idx="2">
                  <c:v>0.83028995990753096</c:v>
                </c:pt>
                <c:pt idx="3">
                  <c:v>0.78526216745376498</c:v>
                </c:pt>
                <c:pt idx="4">
                  <c:v>0.81113916635513295</c:v>
                </c:pt>
                <c:pt idx="5">
                  <c:v>0.82491213083267201</c:v>
                </c:pt>
                <c:pt idx="6">
                  <c:v>0.83121454715728704</c:v>
                </c:pt>
                <c:pt idx="7">
                  <c:v>0.82358911633491505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27-4CF3-9CFC-C0A23A20FF32}"/>
            </c:ext>
          </c:extLst>
        </c:ser>
        <c:ser>
          <c:idx val="1"/>
          <c:order val="1"/>
          <c:tx>
            <c:strRef>
              <c:f>summary_average_metrics!$G$2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summary_average_metrics!$E$3:$E$10</c:f>
              <c:strCache>
                <c:ptCount val="8"/>
                <c:pt idx="0">
                  <c:v>bm25 </c:v>
                </c:pt>
                <c:pt idx="1">
                  <c:v>centroid </c:v>
                </c:pt>
                <c:pt idx="2">
                  <c:v>dense </c:v>
                </c:pt>
                <c:pt idx="3">
                  <c:v>hybrid α = 0.1</c:v>
                </c:pt>
                <c:pt idx="4">
                  <c:v>hybrid α = 0.3</c:v>
                </c:pt>
                <c:pt idx="5">
                  <c:v>hybrid α = 0.5</c:v>
                </c:pt>
                <c:pt idx="6">
                  <c:v>hybrid α = 0.7</c:v>
                </c:pt>
                <c:pt idx="7">
                  <c:v>hybrid α = 0.9</c:v>
                </c:pt>
              </c:strCache>
            </c:strRef>
          </c:cat>
          <c:val>
            <c:numRef>
              <c:f>summary_average_metrics!$G$3:$G$10</c:f>
              <c:numCache>
                <c:formatCode>0.000</c:formatCode>
                <c:ptCount val="8"/>
                <c:pt idx="0">
                  <c:v>0.80577070040628296</c:v>
                </c:pt>
                <c:pt idx="1">
                  <c:v>0.75409793624281796</c:v>
                </c:pt>
                <c:pt idx="2">
                  <c:v>0.80671562165021804</c:v>
                </c:pt>
                <c:pt idx="3">
                  <c:v>0.75208703808486399</c:v>
                </c:pt>
                <c:pt idx="4">
                  <c:v>0.77576337239146198</c:v>
                </c:pt>
                <c:pt idx="5">
                  <c:v>0.80216842484474105</c:v>
                </c:pt>
                <c:pt idx="6">
                  <c:v>0.80814671587943998</c:v>
                </c:pt>
                <c:pt idx="7">
                  <c:v>0.80123836976289697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27-4CF3-9CFC-C0A23A20F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4145120"/>
        <c:axId val="1484148000"/>
      </c:barChart>
      <c:catAx>
        <c:axId val="1484145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84148000"/>
        <c:crosses val="autoZero"/>
        <c:auto val="1"/>
        <c:lblAlgn val="ctr"/>
        <c:lblOffset val="100"/>
        <c:noMultiLvlLbl val="0"/>
      </c:catAx>
      <c:valAx>
        <c:axId val="148414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8414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D"/>
              <a:t>Style Strength, Informal to Formal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summary_average_metrics!$H$2</c:f>
              <c:strCache>
                <c:ptCount val="1"/>
                <c:pt idx="0">
                  <c:v>Median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summary_average_metrics!$E$3:$E$10</c:f>
              <c:strCache>
                <c:ptCount val="8"/>
                <c:pt idx="0">
                  <c:v>bm25 </c:v>
                </c:pt>
                <c:pt idx="1">
                  <c:v>centroid </c:v>
                </c:pt>
                <c:pt idx="2">
                  <c:v>dense </c:v>
                </c:pt>
                <c:pt idx="3">
                  <c:v>hybrid α = 0.1</c:v>
                </c:pt>
                <c:pt idx="4">
                  <c:v>hybrid α = 0.3</c:v>
                </c:pt>
                <c:pt idx="5">
                  <c:v>hybrid α = 0.5</c:v>
                </c:pt>
                <c:pt idx="6">
                  <c:v>hybrid α = 0.7</c:v>
                </c:pt>
                <c:pt idx="7">
                  <c:v>hybrid α = 0.9</c:v>
                </c:pt>
              </c:strCache>
            </c:strRef>
          </c:cat>
          <c:val>
            <c:numRef>
              <c:f>summary_average_metrics!$H$3:$H$10</c:f>
              <c:numCache>
                <c:formatCode>0.0000</c:formatCode>
                <c:ptCount val="8"/>
                <c:pt idx="0">
                  <c:v>2.1788570000000002E-3</c:v>
                </c:pt>
                <c:pt idx="1">
                  <c:v>1.2381892000000001E-3</c:v>
                </c:pt>
                <c:pt idx="2">
                  <c:v>3.9878079999999998E-3</c:v>
                </c:pt>
                <c:pt idx="3">
                  <c:v>5.4195989999999998E-3</c:v>
                </c:pt>
                <c:pt idx="4">
                  <c:v>8.7107920000000002E-3</c:v>
                </c:pt>
                <c:pt idx="5">
                  <c:v>4.9026520000000004E-3</c:v>
                </c:pt>
                <c:pt idx="6">
                  <c:v>4.6251532999999996E-3</c:v>
                </c:pt>
                <c:pt idx="7">
                  <c:v>3.9446790000000004E-3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6-44B3-B7DB-05C7B98980DC}"/>
            </c:ext>
          </c:extLst>
        </c:ser>
        <c:ser>
          <c:idx val="1"/>
          <c:order val="1"/>
          <c:tx>
            <c:strRef>
              <c:f>summary_average_metrics!$I$2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summary_average_metrics!$E$3:$E$10</c:f>
              <c:strCache>
                <c:ptCount val="8"/>
                <c:pt idx="0">
                  <c:v>bm25 </c:v>
                </c:pt>
                <c:pt idx="1">
                  <c:v>centroid </c:v>
                </c:pt>
                <c:pt idx="2">
                  <c:v>dense </c:v>
                </c:pt>
                <c:pt idx="3">
                  <c:v>hybrid α = 0.1</c:v>
                </c:pt>
                <c:pt idx="4">
                  <c:v>hybrid α = 0.3</c:v>
                </c:pt>
                <c:pt idx="5">
                  <c:v>hybrid α = 0.5</c:v>
                </c:pt>
                <c:pt idx="6">
                  <c:v>hybrid α = 0.7</c:v>
                </c:pt>
                <c:pt idx="7">
                  <c:v>hybrid α = 0.9</c:v>
                </c:pt>
              </c:strCache>
            </c:strRef>
          </c:cat>
          <c:val>
            <c:numRef>
              <c:f>summary_average_metrics!$I$3:$I$10</c:f>
              <c:numCache>
                <c:formatCode>0.000</c:formatCode>
                <c:ptCount val="8"/>
                <c:pt idx="0">
                  <c:v>0.14336516999999999</c:v>
                </c:pt>
                <c:pt idx="1">
                  <c:v>5.9317229999999999E-2</c:v>
                </c:pt>
                <c:pt idx="2">
                  <c:v>0.17264553999999999</c:v>
                </c:pt>
                <c:pt idx="3">
                  <c:v>0.15123416000000001</c:v>
                </c:pt>
                <c:pt idx="4">
                  <c:v>0.20069934</c:v>
                </c:pt>
                <c:pt idx="5">
                  <c:v>0.18008704</c:v>
                </c:pt>
                <c:pt idx="6">
                  <c:v>0.17818838000000001</c:v>
                </c:pt>
                <c:pt idx="7">
                  <c:v>0.17463075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06-44B3-B7DB-05C7B9898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4151360"/>
        <c:axId val="1484168160"/>
      </c:barChart>
      <c:catAx>
        <c:axId val="1484151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84168160"/>
        <c:crosses val="autoZero"/>
        <c:auto val="1"/>
        <c:lblAlgn val="ctr"/>
        <c:lblOffset val="100"/>
        <c:noMultiLvlLbl val="0"/>
      </c:catAx>
      <c:valAx>
        <c:axId val="1484168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8415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D"/>
              <a:t>Fluency Perplexity, Informal to Formal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summary_average_metrics!$J$2</c:f>
              <c:strCache>
                <c:ptCount val="1"/>
                <c:pt idx="0">
                  <c:v>Median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summary_average_metrics!$E$3:$E$10</c:f>
              <c:strCache>
                <c:ptCount val="8"/>
                <c:pt idx="0">
                  <c:v>bm25 </c:v>
                </c:pt>
                <c:pt idx="1">
                  <c:v>centroid </c:v>
                </c:pt>
                <c:pt idx="2">
                  <c:v>dense </c:v>
                </c:pt>
                <c:pt idx="3">
                  <c:v>hybrid α = 0.1</c:v>
                </c:pt>
                <c:pt idx="4">
                  <c:v>hybrid α = 0.3</c:v>
                </c:pt>
                <c:pt idx="5">
                  <c:v>hybrid α = 0.5</c:v>
                </c:pt>
                <c:pt idx="6">
                  <c:v>hybrid α = 0.7</c:v>
                </c:pt>
                <c:pt idx="7">
                  <c:v>hybrid α = 0.9</c:v>
                </c:pt>
              </c:strCache>
            </c:strRef>
          </c:cat>
          <c:val>
            <c:numRef>
              <c:f>summary_average_metrics!$J$3:$J$10</c:f>
              <c:numCache>
                <c:formatCode>0.000</c:formatCode>
                <c:ptCount val="8"/>
                <c:pt idx="0">
                  <c:v>60.267620888310901</c:v>
                </c:pt>
                <c:pt idx="1">
                  <c:v>44.522586434722903</c:v>
                </c:pt>
                <c:pt idx="2">
                  <c:v>56.452393847682202</c:v>
                </c:pt>
                <c:pt idx="3">
                  <c:v>42.939616231763502</c:v>
                </c:pt>
                <c:pt idx="4">
                  <c:v>47.456763533424102</c:v>
                </c:pt>
                <c:pt idx="5">
                  <c:v>52.761654802289797</c:v>
                </c:pt>
                <c:pt idx="6">
                  <c:v>56.744271183887697</c:v>
                </c:pt>
                <c:pt idx="7">
                  <c:v>52.438046583888003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91-4A08-8D02-7BFEDC1B46A2}"/>
            </c:ext>
          </c:extLst>
        </c:ser>
        <c:ser>
          <c:idx val="1"/>
          <c:order val="1"/>
          <c:tx>
            <c:strRef>
              <c:f>summary_average_metrics!$K$2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summary_average_metrics!$E$3:$E$10</c:f>
              <c:strCache>
                <c:ptCount val="8"/>
                <c:pt idx="0">
                  <c:v>bm25 </c:v>
                </c:pt>
                <c:pt idx="1">
                  <c:v>centroid </c:v>
                </c:pt>
                <c:pt idx="2">
                  <c:v>dense </c:v>
                </c:pt>
                <c:pt idx="3">
                  <c:v>hybrid α = 0.1</c:v>
                </c:pt>
                <c:pt idx="4">
                  <c:v>hybrid α = 0.3</c:v>
                </c:pt>
                <c:pt idx="5">
                  <c:v>hybrid α = 0.5</c:v>
                </c:pt>
                <c:pt idx="6">
                  <c:v>hybrid α = 0.7</c:v>
                </c:pt>
                <c:pt idx="7">
                  <c:v>hybrid α = 0.9</c:v>
                </c:pt>
              </c:strCache>
            </c:strRef>
          </c:cat>
          <c:val>
            <c:numRef>
              <c:f>summary_average_metrics!$K$3:$K$10</c:f>
              <c:numCache>
                <c:formatCode>0.000</c:formatCode>
                <c:ptCount val="8"/>
                <c:pt idx="0">
                  <c:v>152.567784908535</c:v>
                </c:pt>
                <c:pt idx="1">
                  <c:v>63.758635387782597</c:v>
                </c:pt>
                <c:pt idx="2">
                  <c:v>117.49372514212099</c:v>
                </c:pt>
                <c:pt idx="3">
                  <c:v>64.804496974260502</c:v>
                </c:pt>
                <c:pt idx="4">
                  <c:v>82.100034848521105</c:v>
                </c:pt>
                <c:pt idx="5">
                  <c:v>91.648354255941896</c:v>
                </c:pt>
                <c:pt idx="6">
                  <c:v>105.982604757267</c:v>
                </c:pt>
                <c:pt idx="7">
                  <c:v>111.352943674887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91-4A08-8D02-7BFEDC1B4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2156064"/>
        <c:axId val="1242162784"/>
      </c:barChart>
      <c:catAx>
        <c:axId val="1242156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42162784"/>
        <c:crosses val="autoZero"/>
        <c:auto val="1"/>
        <c:lblAlgn val="ctr"/>
        <c:lblOffset val="100"/>
        <c:noMultiLvlLbl val="0"/>
      </c:catAx>
      <c:valAx>
        <c:axId val="1242162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4215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summary_average_metrics!$M$1</c:f>
              <c:strCache>
                <c:ptCount val="1"/>
                <c:pt idx="0">
                  <c:v>G-score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summary_average_metrics!$E$3:$E$10</c:f>
              <c:strCache>
                <c:ptCount val="8"/>
                <c:pt idx="0">
                  <c:v>bm25 </c:v>
                </c:pt>
                <c:pt idx="1">
                  <c:v>centroid </c:v>
                </c:pt>
                <c:pt idx="2">
                  <c:v>dense </c:v>
                </c:pt>
                <c:pt idx="3">
                  <c:v>hybrid α = 0.1</c:v>
                </c:pt>
                <c:pt idx="4">
                  <c:v>hybrid α = 0.3</c:v>
                </c:pt>
                <c:pt idx="5">
                  <c:v>hybrid α = 0.5</c:v>
                </c:pt>
                <c:pt idx="6">
                  <c:v>hybrid α = 0.7</c:v>
                </c:pt>
                <c:pt idx="7">
                  <c:v>hybrid α = 0.9</c:v>
                </c:pt>
              </c:strCache>
            </c:strRef>
          </c:cat>
          <c:val>
            <c:numRef>
              <c:f>summary_average_metrics!$M$3:$M$10</c:f>
              <c:numCache>
                <c:formatCode>General</c:formatCode>
                <c:ptCount val="8"/>
                <c:pt idx="0">
                  <c:v>0.12421966659210747</c:v>
                </c:pt>
                <c:pt idx="1">
                  <c:v>0.10015579353429654</c:v>
                </c:pt>
                <c:pt idx="2">
                  <c:v>0.13512358400661792</c:v>
                </c:pt>
                <c:pt idx="3">
                  <c:v>0.13836299299983601</c:v>
                </c:pt>
                <c:pt idx="4">
                  <c:v>0.14859095229471028</c:v>
                </c:pt>
                <c:pt idx="5">
                  <c:v>0.139897473583942</c:v>
                </c:pt>
                <c:pt idx="6">
                  <c:v>0.1364004667690894</c:v>
                </c:pt>
                <c:pt idx="7">
                  <c:v>0.13870069937646204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6D-42DF-BDC2-6813A1096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1598432"/>
        <c:axId val="1223217456"/>
      </c:barChart>
      <c:catAx>
        <c:axId val="1201598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217456"/>
        <c:crosses val="autoZero"/>
        <c:auto val="1"/>
        <c:lblAlgn val="ctr"/>
        <c:lblOffset val="100"/>
        <c:noMultiLvlLbl val="0"/>
      </c:catAx>
      <c:valAx>
        <c:axId val="1223217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98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Overall</a:t>
            </a:r>
            <a:r>
              <a:rPr lang="en-ID" baseline="0"/>
              <a:t> </a:t>
            </a:r>
            <a:r>
              <a:rPr lang="en-ID"/>
              <a:t>G-score comparison</a:t>
            </a:r>
            <a:r>
              <a:rPr lang="en-ID" baseline="0"/>
              <a:t> across method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summary_average_metrics!$M$1</c:f>
              <c:strCache>
                <c:ptCount val="1"/>
                <c:pt idx="0">
                  <c:v>G-score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summary_average_metrics!$E$2:$E$10</c:f>
              <c:strCache>
                <c:ptCount val="9"/>
                <c:pt idx="1">
                  <c:v>bm25 </c:v>
                </c:pt>
                <c:pt idx="2">
                  <c:v>centroid </c:v>
                </c:pt>
                <c:pt idx="3">
                  <c:v>dense </c:v>
                </c:pt>
                <c:pt idx="4">
                  <c:v>hybrid α = 0.1</c:v>
                </c:pt>
                <c:pt idx="5">
                  <c:v>hybrid α = 0.3</c:v>
                </c:pt>
                <c:pt idx="6">
                  <c:v>hybrid α = 0.5</c:v>
                </c:pt>
                <c:pt idx="7">
                  <c:v>hybrid α = 0.7</c:v>
                </c:pt>
                <c:pt idx="8">
                  <c:v>hybrid α = 0.9</c:v>
                </c:pt>
              </c:strCache>
            </c:strRef>
          </c:cat>
          <c:val>
            <c:numRef>
              <c:f>summary_average_metrics!$M$2:$M$10</c:f>
              <c:numCache>
                <c:formatCode>General</c:formatCode>
                <c:ptCount val="9"/>
                <c:pt idx="1">
                  <c:v>0.12421966659210747</c:v>
                </c:pt>
                <c:pt idx="2">
                  <c:v>0.10015579353429654</c:v>
                </c:pt>
                <c:pt idx="3">
                  <c:v>0.13512358400661792</c:v>
                </c:pt>
                <c:pt idx="4">
                  <c:v>0.13836299299983601</c:v>
                </c:pt>
                <c:pt idx="5">
                  <c:v>0.14859095229471028</c:v>
                </c:pt>
                <c:pt idx="6">
                  <c:v>0.139897473583942</c:v>
                </c:pt>
                <c:pt idx="7">
                  <c:v>0.1364004667690894</c:v>
                </c:pt>
                <c:pt idx="8">
                  <c:v>0.13870069937646204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C4-4CEB-BC73-0ACC2A040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981248"/>
        <c:axId val="192522064"/>
      </c:barChart>
      <c:catAx>
        <c:axId val="191981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22064"/>
        <c:crosses val="autoZero"/>
        <c:auto val="1"/>
        <c:lblAlgn val="ctr"/>
        <c:lblOffset val="100"/>
        <c:noMultiLvlLbl val="0"/>
      </c:catAx>
      <c:valAx>
        <c:axId val="192522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81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D"/>
              <a:t>Content Perservation, Formal to Informal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'Formal to Informal'!$F$2</c:f>
              <c:strCache>
                <c:ptCount val="1"/>
                <c:pt idx="0">
                  <c:v>Median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'Formal to Informal'!$E$3:$E$10</c:f>
              <c:strCache>
                <c:ptCount val="8"/>
                <c:pt idx="0">
                  <c:v>bm25 </c:v>
                </c:pt>
                <c:pt idx="1">
                  <c:v>centroid </c:v>
                </c:pt>
                <c:pt idx="2">
                  <c:v>dense </c:v>
                </c:pt>
                <c:pt idx="3">
                  <c:v>hybrid α = 0.1</c:v>
                </c:pt>
                <c:pt idx="4">
                  <c:v>hybrid α = 0.3</c:v>
                </c:pt>
                <c:pt idx="5">
                  <c:v>hybrid α = 0.5</c:v>
                </c:pt>
                <c:pt idx="6">
                  <c:v>hybrid α = 0.7</c:v>
                </c:pt>
                <c:pt idx="7">
                  <c:v>hybrid α = 0.9</c:v>
                </c:pt>
              </c:strCache>
            </c:strRef>
          </c:cat>
          <c:val>
            <c:numRef>
              <c:f>'Formal to Informal'!$F$3:$F$10</c:f>
              <c:numCache>
                <c:formatCode>0.000</c:formatCode>
                <c:ptCount val="8"/>
                <c:pt idx="0">
                  <c:v>0.81495934724807695</c:v>
                </c:pt>
                <c:pt idx="1">
                  <c:v>0.79814440011978105</c:v>
                </c:pt>
                <c:pt idx="2">
                  <c:v>0.81556150317192</c:v>
                </c:pt>
                <c:pt idx="3">
                  <c:v>0.81069293618202198</c:v>
                </c:pt>
                <c:pt idx="4">
                  <c:v>0.82123264670371998</c:v>
                </c:pt>
                <c:pt idx="5">
                  <c:v>0.81110015511512701</c:v>
                </c:pt>
                <c:pt idx="6">
                  <c:v>0.81608763337135304</c:v>
                </c:pt>
                <c:pt idx="7">
                  <c:v>0.81813088059425298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3E-41F1-AEAD-B9F09C76F3DA}"/>
            </c:ext>
          </c:extLst>
        </c:ser>
        <c:ser>
          <c:idx val="1"/>
          <c:order val="1"/>
          <c:tx>
            <c:strRef>
              <c:f>'Formal to Informal'!$G$2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'Formal to Informal'!$E$3:$E$10</c:f>
              <c:strCache>
                <c:ptCount val="8"/>
                <c:pt idx="0">
                  <c:v>bm25 </c:v>
                </c:pt>
                <c:pt idx="1">
                  <c:v>centroid </c:v>
                </c:pt>
                <c:pt idx="2">
                  <c:v>dense </c:v>
                </c:pt>
                <c:pt idx="3">
                  <c:v>hybrid α = 0.1</c:v>
                </c:pt>
                <c:pt idx="4">
                  <c:v>hybrid α = 0.3</c:v>
                </c:pt>
                <c:pt idx="5">
                  <c:v>hybrid α = 0.5</c:v>
                </c:pt>
                <c:pt idx="6">
                  <c:v>hybrid α = 0.7</c:v>
                </c:pt>
                <c:pt idx="7">
                  <c:v>hybrid α = 0.9</c:v>
                </c:pt>
              </c:strCache>
            </c:strRef>
          </c:cat>
          <c:val>
            <c:numRef>
              <c:f>'Formal to Informal'!$G$3:$G$10</c:f>
              <c:numCache>
                <c:formatCode>0.000</c:formatCode>
                <c:ptCount val="8"/>
                <c:pt idx="0">
                  <c:v>0.79255160963535298</c:v>
                </c:pt>
                <c:pt idx="1">
                  <c:v>0.76988545766472805</c:v>
                </c:pt>
                <c:pt idx="2">
                  <c:v>0.78869147890806202</c:v>
                </c:pt>
                <c:pt idx="3">
                  <c:v>0.77088986131548798</c:v>
                </c:pt>
                <c:pt idx="4">
                  <c:v>0.78683175960183105</c:v>
                </c:pt>
                <c:pt idx="5">
                  <c:v>0.78931648617982797</c:v>
                </c:pt>
                <c:pt idx="6">
                  <c:v>0.78824623209237998</c:v>
                </c:pt>
                <c:pt idx="7">
                  <c:v>0.79326413378119398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3E-41F1-AEAD-B9F09C76F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20301984"/>
        <c:axId val="1620303424"/>
      </c:barChart>
      <c:catAx>
        <c:axId val="1620301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20303424"/>
        <c:crosses val="autoZero"/>
        <c:auto val="1"/>
        <c:lblAlgn val="ctr"/>
        <c:lblOffset val="100"/>
        <c:noMultiLvlLbl val="0"/>
      </c:catAx>
      <c:valAx>
        <c:axId val="1620303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20301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D"/>
              <a:t>Style</a:t>
            </a:r>
            <a:r>
              <a:rPr lang="en-ID" baseline="0"/>
              <a:t> Strength</a:t>
            </a:r>
            <a:r>
              <a:rPr lang="en-ID"/>
              <a:t>, Formal to Informal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'Formal to Informal'!$H$2</c:f>
              <c:strCache>
                <c:ptCount val="1"/>
                <c:pt idx="0">
                  <c:v>Median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'Formal to Informal'!$E$3:$E$10</c:f>
              <c:strCache>
                <c:ptCount val="8"/>
                <c:pt idx="0">
                  <c:v>bm25 </c:v>
                </c:pt>
                <c:pt idx="1">
                  <c:v>centroid </c:v>
                </c:pt>
                <c:pt idx="2">
                  <c:v>dense </c:v>
                </c:pt>
                <c:pt idx="3">
                  <c:v>hybrid α = 0.1</c:v>
                </c:pt>
                <c:pt idx="4">
                  <c:v>hybrid α = 0.3</c:v>
                </c:pt>
                <c:pt idx="5">
                  <c:v>hybrid α = 0.5</c:v>
                </c:pt>
                <c:pt idx="6">
                  <c:v>hybrid α = 0.7</c:v>
                </c:pt>
                <c:pt idx="7">
                  <c:v>hybrid α = 0.9</c:v>
                </c:pt>
              </c:strCache>
            </c:strRef>
          </c:cat>
          <c:val>
            <c:numRef>
              <c:f>'Formal to Informal'!$H$3:$H$10</c:f>
              <c:numCache>
                <c:formatCode>0.0000</c:formatCode>
                <c:ptCount val="8"/>
                <c:pt idx="0">
                  <c:v>0.99844920000000004</c:v>
                </c:pt>
                <c:pt idx="1">
                  <c:v>0.99733733999999996</c:v>
                </c:pt>
                <c:pt idx="2">
                  <c:v>0.99896019999999996</c:v>
                </c:pt>
                <c:pt idx="3">
                  <c:v>0.99868920000000005</c:v>
                </c:pt>
                <c:pt idx="4">
                  <c:v>0.99909029999999999</c:v>
                </c:pt>
                <c:pt idx="5">
                  <c:v>0.99914429999999999</c:v>
                </c:pt>
                <c:pt idx="6">
                  <c:v>0.99908850000000005</c:v>
                </c:pt>
                <c:pt idx="7">
                  <c:v>0.99900979999999995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40-4AEB-AAE7-2614345A1C8A}"/>
            </c:ext>
          </c:extLst>
        </c:ser>
        <c:ser>
          <c:idx val="1"/>
          <c:order val="1"/>
          <c:tx>
            <c:strRef>
              <c:f>'Formal to Informal'!$I$2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'Formal to Informal'!$E$3:$E$10</c:f>
              <c:strCache>
                <c:ptCount val="8"/>
                <c:pt idx="0">
                  <c:v>bm25 </c:v>
                </c:pt>
                <c:pt idx="1">
                  <c:v>centroid </c:v>
                </c:pt>
                <c:pt idx="2">
                  <c:v>dense </c:v>
                </c:pt>
                <c:pt idx="3">
                  <c:v>hybrid α = 0.1</c:v>
                </c:pt>
                <c:pt idx="4">
                  <c:v>hybrid α = 0.3</c:v>
                </c:pt>
                <c:pt idx="5">
                  <c:v>hybrid α = 0.5</c:v>
                </c:pt>
                <c:pt idx="6">
                  <c:v>hybrid α = 0.7</c:v>
                </c:pt>
                <c:pt idx="7">
                  <c:v>hybrid α = 0.9</c:v>
                </c:pt>
              </c:strCache>
            </c:strRef>
          </c:cat>
          <c:val>
            <c:numRef>
              <c:f>'Formal to Informal'!$I$3:$I$10</c:f>
              <c:numCache>
                <c:formatCode>0.000</c:formatCode>
                <c:ptCount val="8"/>
                <c:pt idx="0">
                  <c:v>0.91356236000000002</c:v>
                </c:pt>
                <c:pt idx="1">
                  <c:v>0.90478689999999995</c:v>
                </c:pt>
                <c:pt idx="2">
                  <c:v>0.93143940000000003</c:v>
                </c:pt>
                <c:pt idx="3">
                  <c:v>0.94317406000000004</c:v>
                </c:pt>
                <c:pt idx="4">
                  <c:v>0.94728069999999998</c:v>
                </c:pt>
                <c:pt idx="5">
                  <c:v>0.94368859999999999</c:v>
                </c:pt>
                <c:pt idx="6">
                  <c:v>0.95535930000000002</c:v>
                </c:pt>
                <c:pt idx="7">
                  <c:v>0.94397693999999999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40-4AEB-AAE7-2614345A1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21046320"/>
        <c:axId val="1621046800"/>
      </c:barChart>
      <c:catAx>
        <c:axId val="1621046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21046800"/>
        <c:crosses val="autoZero"/>
        <c:auto val="1"/>
        <c:lblAlgn val="ctr"/>
        <c:lblOffset val="100"/>
        <c:noMultiLvlLbl val="0"/>
      </c:catAx>
      <c:valAx>
        <c:axId val="162104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2104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D"/>
              <a:t>Fluency Perplexity, Formal to Informal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'Formal to Informal'!$J$2</c:f>
              <c:strCache>
                <c:ptCount val="1"/>
                <c:pt idx="0">
                  <c:v>Median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'Formal to Informal'!$E$3:$E$10</c:f>
              <c:strCache>
                <c:ptCount val="8"/>
                <c:pt idx="0">
                  <c:v>bm25 </c:v>
                </c:pt>
                <c:pt idx="1">
                  <c:v>centroid </c:v>
                </c:pt>
                <c:pt idx="2">
                  <c:v>dense </c:v>
                </c:pt>
                <c:pt idx="3">
                  <c:v>hybrid α = 0.1</c:v>
                </c:pt>
                <c:pt idx="4">
                  <c:v>hybrid α = 0.3</c:v>
                </c:pt>
                <c:pt idx="5">
                  <c:v>hybrid α = 0.5</c:v>
                </c:pt>
                <c:pt idx="6">
                  <c:v>hybrid α = 0.7</c:v>
                </c:pt>
                <c:pt idx="7">
                  <c:v>hybrid α = 0.9</c:v>
                </c:pt>
              </c:strCache>
            </c:strRef>
          </c:cat>
          <c:val>
            <c:numRef>
              <c:f>'Formal to Informal'!$J$3:$J$10</c:f>
              <c:numCache>
                <c:formatCode>0.000</c:formatCode>
                <c:ptCount val="8"/>
                <c:pt idx="0">
                  <c:v>56.460300206171901</c:v>
                </c:pt>
                <c:pt idx="1">
                  <c:v>37.133010651424499</c:v>
                </c:pt>
                <c:pt idx="2">
                  <c:v>59.6852031238192</c:v>
                </c:pt>
                <c:pt idx="3">
                  <c:v>42.386665365784701</c:v>
                </c:pt>
                <c:pt idx="4">
                  <c:v>53.210816494969897</c:v>
                </c:pt>
                <c:pt idx="5">
                  <c:v>54.056257977413701</c:v>
                </c:pt>
                <c:pt idx="6">
                  <c:v>58.992366296847599</c:v>
                </c:pt>
                <c:pt idx="7">
                  <c:v>58.915067238990297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A5-47B0-946D-5010FF4B71C3}"/>
            </c:ext>
          </c:extLst>
        </c:ser>
        <c:ser>
          <c:idx val="1"/>
          <c:order val="1"/>
          <c:tx>
            <c:strRef>
              <c:f>'Formal to Informal'!$K$2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'Formal to Informal'!$E$3:$E$10</c:f>
              <c:strCache>
                <c:ptCount val="8"/>
                <c:pt idx="0">
                  <c:v>bm25 </c:v>
                </c:pt>
                <c:pt idx="1">
                  <c:v>centroid </c:v>
                </c:pt>
                <c:pt idx="2">
                  <c:v>dense </c:v>
                </c:pt>
                <c:pt idx="3">
                  <c:v>hybrid α = 0.1</c:v>
                </c:pt>
                <c:pt idx="4">
                  <c:v>hybrid α = 0.3</c:v>
                </c:pt>
                <c:pt idx="5">
                  <c:v>hybrid α = 0.5</c:v>
                </c:pt>
                <c:pt idx="6">
                  <c:v>hybrid α = 0.7</c:v>
                </c:pt>
                <c:pt idx="7">
                  <c:v>hybrid α = 0.9</c:v>
                </c:pt>
              </c:strCache>
            </c:strRef>
          </c:cat>
          <c:val>
            <c:numRef>
              <c:f>'Formal to Informal'!$K$3:$K$10</c:f>
              <c:numCache>
                <c:formatCode>0.000</c:formatCode>
                <c:ptCount val="8"/>
                <c:pt idx="0">
                  <c:v>105.688333224801</c:v>
                </c:pt>
                <c:pt idx="1">
                  <c:v>56.039842684760103</c:v>
                </c:pt>
                <c:pt idx="2">
                  <c:v>133.511681246173</c:v>
                </c:pt>
                <c:pt idx="3">
                  <c:v>69.822856988968098</c:v>
                </c:pt>
                <c:pt idx="4">
                  <c:v>92.9856210555308</c:v>
                </c:pt>
                <c:pt idx="5">
                  <c:v>98.847199884216494</c:v>
                </c:pt>
                <c:pt idx="6">
                  <c:v>154.41181887318299</c:v>
                </c:pt>
                <c:pt idx="7">
                  <c:v>107.04064617818599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A5-47B0-946D-5010FF4B7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58905936"/>
        <c:axId val="1658906416"/>
      </c:barChart>
      <c:catAx>
        <c:axId val="1658905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58906416"/>
        <c:crosses val="autoZero"/>
        <c:auto val="1"/>
        <c:lblAlgn val="ctr"/>
        <c:lblOffset val="100"/>
        <c:noMultiLvlLbl val="0"/>
      </c:catAx>
      <c:valAx>
        <c:axId val="165890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58905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G-Score of formal</a:t>
            </a:r>
            <a:r>
              <a:rPr lang="en-ID" baseline="0"/>
              <a:t> to informal task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'Formal to Informal'!$O$2</c:f>
              <c:strCache>
                <c:ptCount val="1"/>
                <c:pt idx="0">
                  <c:v>G-Score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'Formal to Informal'!$N$3:$N$10</c:f>
              <c:strCache>
                <c:ptCount val="8"/>
                <c:pt idx="0">
                  <c:v>bm25 </c:v>
                </c:pt>
                <c:pt idx="1">
                  <c:v>centroid </c:v>
                </c:pt>
                <c:pt idx="2">
                  <c:v>dense </c:v>
                </c:pt>
                <c:pt idx="3">
                  <c:v>hybrid α = 0.1</c:v>
                </c:pt>
                <c:pt idx="4">
                  <c:v>hybrid α = 0.3</c:v>
                </c:pt>
                <c:pt idx="5">
                  <c:v>hybrid α = 0.5</c:v>
                </c:pt>
                <c:pt idx="6">
                  <c:v>hybrid α = 0.7</c:v>
                </c:pt>
                <c:pt idx="7">
                  <c:v>hybrid α = 0.9</c:v>
                </c:pt>
              </c:strCache>
            </c:strRef>
          </c:cat>
          <c:val>
            <c:numRef>
              <c:f>'Formal to Informal'!$O$3:$O$10</c:f>
              <c:numCache>
                <c:formatCode>0.000</c:formatCode>
                <c:ptCount val="8"/>
                <c:pt idx="0">
                  <c:v>0.23478576567499301</c:v>
                </c:pt>
                <c:pt idx="1">
                  <c:v>0.266411886286472</c:v>
                </c:pt>
                <c:pt idx="2">
                  <c:v>0.23109778498946501</c:v>
                </c:pt>
                <c:pt idx="3">
                  <c:v>0.25906395515721597</c:v>
                </c:pt>
                <c:pt idx="4">
                  <c:v>0.240948576532068</c:v>
                </c:pt>
                <c:pt idx="5">
                  <c:v>0.239937857882081</c:v>
                </c:pt>
                <c:pt idx="6">
                  <c:v>0.23408797596046599</c:v>
                </c:pt>
                <c:pt idx="7">
                  <c:v>0.233539775918887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B9-4B4B-BDFD-6EB5EE3A9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2800544"/>
        <c:axId val="492335984"/>
      </c:barChart>
      <c:catAx>
        <c:axId val="492800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335984"/>
        <c:crosses val="autoZero"/>
        <c:auto val="1"/>
        <c:lblAlgn val="ctr"/>
        <c:lblOffset val="100"/>
        <c:noMultiLvlLbl val="0"/>
      </c:catAx>
      <c:valAx>
        <c:axId val="492335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80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111125</xdr:colOff>
      <xdr:row>11</xdr:row>
      <xdr:rowOff>133350</xdr:rowOff>
    </xdr:from>
    <xdr:to>
      <xdr:col>6</xdr:col>
      <xdr:colOff>428625</xdr:colOff>
      <xdr:row>26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E67082-FA40-6C05-60D9-876596AFF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606425</xdr:colOff>
      <xdr:row>12</xdr:row>
      <xdr:rowOff>6350</xdr:rowOff>
    </xdr:from>
    <xdr:to>
      <xdr:col>9</xdr:col>
      <xdr:colOff>828675</xdr:colOff>
      <xdr:row>26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884FE3F-CAE7-1BDB-1CD8-4DB3E527B6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60325</xdr:colOff>
      <xdr:row>27</xdr:row>
      <xdr:rowOff>171450</xdr:rowOff>
    </xdr:from>
    <xdr:to>
      <xdr:col>6</xdr:col>
      <xdr:colOff>377825</xdr:colOff>
      <xdr:row>42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109A140-3ED7-F154-5B1A-DE8C9286C7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314325</xdr:colOff>
      <xdr:row>12</xdr:row>
      <xdr:rowOff>88900</xdr:rowOff>
    </xdr:from>
    <xdr:to>
      <xdr:col>12</xdr:col>
      <xdr:colOff>568325</xdr:colOff>
      <xdr:row>27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80C4BE-B6EA-A4FD-B537-73B5D3B248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142875</xdr:colOff>
      <xdr:row>5</xdr:row>
      <xdr:rowOff>38100</xdr:rowOff>
    </xdr:from>
    <xdr:to>
      <xdr:col>19</xdr:col>
      <xdr:colOff>447675</xdr:colOff>
      <xdr:row>20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61D3BAD-FB9E-C3AC-7B9F-30F20DEDF1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12</xdr:row>
      <xdr:rowOff>69850</xdr:rowOff>
    </xdr:from>
    <xdr:to>
      <xdr:col>8</xdr:col>
      <xdr:colOff>409575</xdr:colOff>
      <xdr:row>27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E06A2B-8AD9-E91B-4C20-D2EFAC2A13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180975</xdr:colOff>
      <xdr:row>12</xdr:row>
      <xdr:rowOff>50800</xdr:rowOff>
    </xdr:from>
    <xdr:to>
      <xdr:col>16</xdr:col>
      <xdr:colOff>485775</xdr:colOff>
      <xdr:row>27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A6A4FC-C245-F394-5E42-C44C234EBD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593725</xdr:colOff>
      <xdr:row>28</xdr:row>
      <xdr:rowOff>171450</xdr:rowOff>
    </xdr:from>
    <xdr:to>
      <xdr:col>9</xdr:col>
      <xdr:colOff>288925</xdr:colOff>
      <xdr:row>43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6503D1-20B1-34FD-DC7F-B8DFA48985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396875</xdr:colOff>
      <xdr:row>1</xdr:row>
      <xdr:rowOff>31750</xdr:rowOff>
    </xdr:from>
    <xdr:to>
      <xdr:col>12</xdr:col>
      <xdr:colOff>79375</xdr:colOff>
      <xdr:row>16</xdr:row>
      <xdr:rowOff>12700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D547726-EBBF-0EE7-50D6-3DF6E21BF1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794F-8571-4D98-AE2A-7D107963ED32}">
  <dimension ref="A1:M10"/>
  <sheetViews>
    <sheetView topLeftCell="B1" workbookViewId="0">
      <selection activeCell="E1" activeCellId="1" sqref="M1:M10 E1:E10"/>
    </sheetView>
  </sheetViews>
  <sheetFormatPr defaultRowHeight="14.5" x14ac:dyDescent="0.35"/>
  <cols>
    <col min="3" max="3" width="14.54296875" bestFit="1" customWidth="1"/>
    <col min="4" max="4" width="5.26953125" bestFit="1" customWidth="1"/>
    <col min="5" max="5" width="13.54296875" customWidth="1"/>
    <col min="6" max="6" width="7.90625" customWidth="1"/>
    <col min="7" max="7" width="10.36328125" customWidth="1"/>
    <col min="8" max="8" width="6.7265625" bestFit="1" customWidth="1"/>
    <col min="9" max="9" width="7.26953125" bestFit="1" customWidth="1"/>
    <col min="10" max="10" width="6.7265625" bestFit="1" customWidth="1"/>
    <col min="11" max="11" width="9.453125" customWidth="1"/>
    <col min="12" max="12" width="11.81640625" hidden="1" customWidth="1"/>
  </cols>
  <sheetData>
    <row r="1" spans="1:13" x14ac:dyDescent="0.35">
      <c r="E1" s="3" t="s">
        <v>25</v>
      </c>
      <c r="F1" s="4" t="s">
        <v>29</v>
      </c>
      <c r="G1" s="4"/>
      <c r="H1" s="4" t="s">
        <v>32</v>
      </c>
      <c r="I1" s="4"/>
      <c r="J1" s="4" t="s">
        <v>33</v>
      </c>
      <c r="K1" s="4"/>
      <c r="M1" s="3" t="s">
        <v>28</v>
      </c>
    </row>
    <row r="2" spans="1:13" x14ac:dyDescent="0.35">
      <c r="A2" t="s">
        <v>0</v>
      </c>
      <c r="B2" t="s">
        <v>1</v>
      </c>
      <c r="C2" t="s">
        <v>2</v>
      </c>
      <c r="D2" t="s">
        <v>3</v>
      </c>
      <c r="E2" s="3"/>
      <c r="F2" t="s">
        <v>30</v>
      </c>
      <c r="G2" t="s">
        <v>31</v>
      </c>
      <c r="H2" t="s">
        <v>30</v>
      </c>
      <c r="I2" t="s">
        <v>31</v>
      </c>
      <c r="J2" t="s">
        <v>30</v>
      </c>
      <c r="K2" t="s">
        <v>31</v>
      </c>
      <c r="L2" t="s">
        <v>27</v>
      </c>
      <c r="M2" s="3"/>
    </row>
    <row r="3" spans="1:13" x14ac:dyDescent="0.35">
      <c r="A3" t="s">
        <v>4</v>
      </c>
      <c r="B3" t="s">
        <v>5</v>
      </c>
      <c r="C3" t="s">
        <v>6</v>
      </c>
      <c r="E3" t="str">
        <f>C3&amp;" "&amp;D3</f>
        <v xml:space="preserve">bm25 </v>
      </c>
      <c r="F3" s="1">
        <v>0.83264255523681596</v>
      </c>
      <c r="G3" s="1">
        <v>0.80577070040628296</v>
      </c>
      <c r="H3" s="2">
        <v>2.1788570000000002E-3</v>
      </c>
      <c r="I3" s="1">
        <v>0.14336516999999999</v>
      </c>
      <c r="J3" s="1">
        <v>60.267620888310901</v>
      </c>
      <c r="K3" s="1">
        <v>152.567784908535</v>
      </c>
      <c r="L3">
        <f t="shared" ref="L3:L10" si="0">G3 * I3 * (1/J3)</f>
        <v>1.9167747414295425E-3</v>
      </c>
      <c r="M3">
        <f>L3^(1/3)</f>
        <v>0.12421966659210747</v>
      </c>
    </row>
    <row r="4" spans="1:13" x14ac:dyDescent="0.35">
      <c r="A4" t="s">
        <v>7</v>
      </c>
      <c r="B4" t="s">
        <v>5</v>
      </c>
      <c r="C4" t="s">
        <v>8</v>
      </c>
      <c r="E4" t="str">
        <f t="shared" ref="E4:E10" si="1">C4&amp;" "&amp;D4</f>
        <v xml:space="preserve">centroid </v>
      </c>
      <c r="F4" s="1">
        <v>0.79818704724311795</v>
      </c>
      <c r="G4" s="1">
        <v>0.75409793624281796</v>
      </c>
      <c r="H4" s="2">
        <v>1.2381892000000001E-3</v>
      </c>
      <c r="I4" s="1">
        <v>5.9317229999999999E-2</v>
      </c>
      <c r="J4" s="1">
        <v>44.522586434722903</v>
      </c>
      <c r="K4" s="1">
        <v>63.758635387782597</v>
      </c>
      <c r="L4">
        <f t="shared" si="0"/>
        <v>1.004681091297857E-3</v>
      </c>
      <c r="M4">
        <f t="shared" ref="M4:M10" si="2">L4^(1/3)</f>
        <v>0.10015579353429654</v>
      </c>
    </row>
    <row r="5" spans="1:13" x14ac:dyDescent="0.35">
      <c r="A5" t="s">
        <v>9</v>
      </c>
      <c r="B5" t="s">
        <v>5</v>
      </c>
      <c r="C5" t="s">
        <v>10</v>
      </c>
      <c r="E5" t="str">
        <f t="shared" si="1"/>
        <v xml:space="preserve">dense </v>
      </c>
      <c r="F5" s="1">
        <v>0.83028995990753096</v>
      </c>
      <c r="G5" s="1">
        <v>0.80671562165021804</v>
      </c>
      <c r="H5" s="2">
        <v>3.9878079999999998E-3</v>
      </c>
      <c r="I5" s="1">
        <v>0.17264553999999999</v>
      </c>
      <c r="J5" s="1">
        <v>56.452393847682202</v>
      </c>
      <c r="K5" s="1">
        <v>117.49372514212099</v>
      </c>
      <c r="L5">
        <f t="shared" si="0"/>
        <v>2.4671381430170459E-3</v>
      </c>
      <c r="M5">
        <f t="shared" si="2"/>
        <v>0.13512358400661792</v>
      </c>
    </row>
    <row r="6" spans="1:13" x14ac:dyDescent="0.35">
      <c r="A6" t="s">
        <v>11</v>
      </c>
      <c r="B6" t="s">
        <v>5</v>
      </c>
      <c r="C6" t="s">
        <v>26</v>
      </c>
      <c r="D6">
        <v>0.1</v>
      </c>
      <c r="E6" t="str">
        <f t="shared" si="1"/>
        <v>hybrid α = 0.1</v>
      </c>
      <c r="F6" s="1">
        <v>0.78526216745376498</v>
      </c>
      <c r="G6" s="1">
        <v>0.75208703808486399</v>
      </c>
      <c r="H6" s="2">
        <v>5.4195989999999998E-3</v>
      </c>
      <c r="I6" s="1">
        <v>0.15123416000000001</v>
      </c>
      <c r="J6" s="1">
        <v>42.939616231763502</v>
      </c>
      <c r="K6" s="1">
        <v>64.804496974260502</v>
      </c>
      <c r="L6">
        <f t="shared" si="0"/>
        <v>2.6488651141580348E-3</v>
      </c>
      <c r="M6">
        <f t="shared" si="2"/>
        <v>0.13836299299983601</v>
      </c>
    </row>
    <row r="7" spans="1:13" x14ac:dyDescent="0.35">
      <c r="A7" t="s">
        <v>12</v>
      </c>
      <c r="B7" t="s">
        <v>5</v>
      </c>
      <c r="C7" t="s">
        <v>26</v>
      </c>
      <c r="D7">
        <v>0.3</v>
      </c>
      <c r="E7" t="str">
        <f t="shared" si="1"/>
        <v>hybrid α = 0.3</v>
      </c>
      <c r="F7" s="1">
        <v>0.81113916635513295</v>
      </c>
      <c r="G7" s="1">
        <v>0.77576337239146198</v>
      </c>
      <c r="H7" s="2">
        <v>8.7107920000000002E-3</v>
      </c>
      <c r="I7" s="1">
        <v>0.20069934</v>
      </c>
      <c r="J7" s="1">
        <v>47.456763533424102</v>
      </c>
      <c r="K7" s="1">
        <v>82.100034848521105</v>
      </c>
      <c r="L7">
        <f t="shared" si="0"/>
        <v>3.2807799192939805E-3</v>
      </c>
      <c r="M7">
        <f t="shared" si="2"/>
        <v>0.14859095229471028</v>
      </c>
    </row>
    <row r="8" spans="1:13" x14ac:dyDescent="0.35">
      <c r="A8" t="s">
        <v>13</v>
      </c>
      <c r="B8" t="s">
        <v>5</v>
      </c>
      <c r="C8" t="s">
        <v>26</v>
      </c>
      <c r="D8">
        <v>0.5</v>
      </c>
      <c r="E8" t="str">
        <f t="shared" si="1"/>
        <v>hybrid α = 0.5</v>
      </c>
      <c r="F8" s="1">
        <v>0.82491213083267201</v>
      </c>
      <c r="G8" s="1">
        <v>0.80216842484474105</v>
      </c>
      <c r="H8" s="2">
        <v>4.9026520000000004E-3</v>
      </c>
      <c r="I8" s="1">
        <v>0.18008704</v>
      </c>
      <c r="J8" s="1">
        <v>52.761654802289797</v>
      </c>
      <c r="K8" s="1">
        <v>91.648354255941896</v>
      </c>
      <c r="L8">
        <f t="shared" si="0"/>
        <v>2.7379758605577792E-3</v>
      </c>
      <c r="M8">
        <f t="shared" si="2"/>
        <v>0.139897473583942</v>
      </c>
    </row>
    <row r="9" spans="1:13" x14ac:dyDescent="0.35">
      <c r="A9" t="s">
        <v>14</v>
      </c>
      <c r="B9" t="s">
        <v>5</v>
      </c>
      <c r="C9" t="s">
        <v>26</v>
      </c>
      <c r="D9">
        <v>0.7</v>
      </c>
      <c r="E9" t="str">
        <f t="shared" si="1"/>
        <v>hybrid α = 0.7</v>
      </c>
      <c r="F9" s="1">
        <v>0.83121454715728704</v>
      </c>
      <c r="G9" s="1">
        <v>0.80814671587943998</v>
      </c>
      <c r="H9" s="2">
        <v>4.6251532999999996E-3</v>
      </c>
      <c r="I9" s="1">
        <v>0.17818838000000001</v>
      </c>
      <c r="J9" s="1">
        <v>56.744271183887697</v>
      </c>
      <c r="K9" s="1">
        <v>105.982604757267</v>
      </c>
      <c r="L9">
        <f t="shared" si="0"/>
        <v>2.5377425967498647E-3</v>
      </c>
      <c r="M9">
        <f t="shared" si="2"/>
        <v>0.1364004667690894</v>
      </c>
    </row>
    <row r="10" spans="1:13" x14ac:dyDescent="0.35">
      <c r="A10" t="s">
        <v>15</v>
      </c>
      <c r="B10" t="s">
        <v>5</v>
      </c>
      <c r="C10" t="s">
        <v>26</v>
      </c>
      <c r="D10">
        <v>0.9</v>
      </c>
      <c r="E10" t="str">
        <f t="shared" si="1"/>
        <v>hybrid α = 0.9</v>
      </c>
      <c r="F10" s="1">
        <v>0.82358911633491505</v>
      </c>
      <c r="G10" s="1">
        <v>0.80123836976289697</v>
      </c>
      <c r="H10" s="2">
        <v>3.9446790000000004E-3</v>
      </c>
      <c r="I10" s="1">
        <v>0.17463075</v>
      </c>
      <c r="J10" s="1">
        <v>52.438046583888003</v>
      </c>
      <c r="K10" s="1">
        <v>111.352943674887</v>
      </c>
      <c r="L10">
        <f t="shared" si="0"/>
        <v>2.668307966366234E-3</v>
      </c>
      <c r="M10">
        <f t="shared" si="2"/>
        <v>0.13870069937646204</v>
      </c>
    </row>
  </sheetData>
  <mergeCells count="5">
    <mergeCell ref="E1:E2"/>
    <mergeCell ref="F1:G1"/>
    <mergeCell ref="H1:I1"/>
    <mergeCell ref="J1:K1"/>
    <mergeCell ref="M1:M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905F0-F3DB-46C1-8B1A-D14548F7D44B}">
  <dimension ref="A1:O10"/>
  <sheetViews>
    <sheetView tabSelected="1" topLeftCell="B1" workbookViewId="0">
      <selection activeCell="O1" sqref="O1"/>
    </sheetView>
  </sheetViews>
  <sheetFormatPr defaultRowHeight="14.5" x14ac:dyDescent="0.35"/>
  <cols>
    <col min="6" max="6" width="8.7265625" customWidth="1"/>
    <col min="7" max="7" width="8.90625" customWidth="1"/>
    <col min="14" max="14" width="11.453125" customWidth="1"/>
  </cols>
  <sheetData>
    <row r="1" spans="1:15" x14ac:dyDescent="0.35">
      <c r="E1" s="3" t="s">
        <v>25</v>
      </c>
      <c r="F1" s="4" t="s">
        <v>29</v>
      </c>
      <c r="G1" s="4"/>
      <c r="H1" s="4" t="s">
        <v>32</v>
      </c>
      <c r="I1" s="4"/>
      <c r="J1" t="s">
        <v>34</v>
      </c>
      <c r="L1" s="3" t="s">
        <v>35</v>
      </c>
    </row>
    <row r="2" spans="1:15" x14ac:dyDescent="0.35">
      <c r="A2" t="s">
        <v>0</v>
      </c>
      <c r="B2" t="s">
        <v>1</v>
      </c>
      <c r="C2" t="s">
        <v>2</v>
      </c>
      <c r="D2" t="s">
        <v>3</v>
      </c>
      <c r="E2" s="3"/>
      <c r="F2" t="s">
        <v>30</v>
      </c>
      <c r="G2" t="s">
        <v>31</v>
      </c>
      <c r="H2" t="s">
        <v>30</v>
      </c>
      <c r="I2" t="s">
        <v>31</v>
      </c>
      <c r="J2" t="s">
        <v>30</v>
      </c>
      <c r="K2" t="s">
        <v>31</v>
      </c>
      <c r="L2" s="3"/>
      <c r="N2" t="s">
        <v>25</v>
      </c>
      <c r="O2" t="s">
        <v>35</v>
      </c>
    </row>
    <row r="3" spans="1:15" x14ac:dyDescent="0.35">
      <c r="A3" t="s">
        <v>16</v>
      </c>
      <c r="B3" t="s">
        <v>17</v>
      </c>
      <c r="C3" t="s">
        <v>6</v>
      </c>
      <c r="E3" t="str">
        <f t="shared" ref="E3:E10" si="0">C3&amp;" "&amp;D3</f>
        <v xml:space="preserve">bm25 </v>
      </c>
      <c r="F3" s="1">
        <v>0.81495934724807695</v>
      </c>
      <c r="G3" s="1">
        <v>0.79255160963535298</v>
      </c>
      <c r="H3" s="2">
        <v>0.99844920000000004</v>
      </c>
      <c r="I3" s="1">
        <v>0.91356236000000002</v>
      </c>
      <c r="J3" s="1">
        <v>56.460300206171901</v>
      </c>
      <c r="K3" s="1">
        <v>105.688333224801</v>
      </c>
      <c r="L3" s="1">
        <v>0.23478576567499301</v>
      </c>
      <c r="N3" t="s">
        <v>36</v>
      </c>
      <c r="O3" s="1">
        <v>0.23478576567499301</v>
      </c>
    </row>
    <row r="4" spans="1:15" x14ac:dyDescent="0.35">
      <c r="A4" t="s">
        <v>18</v>
      </c>
      <c r="B4" t="s">
        <v>17</v>
      </c>
      <c r="C4" t="s">
        <v>8</v>
      </c>
      <c r="E4" t="str">
        <f t="shared" si="0"/>
        <v xml:space="preserve">centroid </v>
      </c>
      <c r="F4" s="1">
        <v>0.79814440011978105</v>
      </c>
      <c r="G4" s="1">
        <v>0.76988545766472805</v>
      </c>
      <c r="H4" s="2">
        <v>0.99733733999999996</v>
      </c>
      <c r="I4" s="1">
        <v>0.90478689999999995</v>
      </c>
      <c r="J4" s="1">
        <v>37.133010651424499</v>
      </c>
      <c r="K4" s="1">
        <v>56.039842684760103</v>
      </c>
      <c r="L4" s="1">
        <v>0.266411886286472</v>
      </c>
      <c r="N4" t="s">
        <v>37</v>
      </c>
      <c r="O4" s="1">
        <v>0.266411886286472</v>
      </c>
    </row>
    <row r="5" spans="1:15" x14ac:dyDescent="0.35">
      <c r="A5" t="s">
        <v>19</v>
      </c>
      <c r="B5" t="s">
        <v>17</v>
      </c>
      <c r="C5" t="s">
        <v>10</v>
      </c>
      <c r="E5" t="str">
        <f t="shared" si="0"/>
        <v xml:space="preserve">dense </v>
      </c>
      <c r="F5" s="1">
        <v>0.81556150317192</v>
      </c>
      <c r="G5" s="1">
        <v>0.78869147890806202</v>
      </c>
      <c r="H5" s="2">
        <v>0.99896019999999996</v>
      </c>
      <c r="I5" s="1">
        <v>0.93143940000000003</v>
      </c>
      <c r="J5" s="1">
        <v>59.6852031238192</v>
      </c>
      <c r="K5" s="1">
        <v>133.511681246173</v>
      </c>
      <c r="L5" s="1">
        <v>0.23109778498946501</v>
      </c>
      <c r="N5" t="s">
        <v>38</v>
      </c>
      <c r="O5" s="1">
        <v>0.23109778498946501</v>
      </c>
    </row>
    <row r="6" spans="1:15" x14ac:dyDescent="0.35">
      <c r="A6" t="s">
        <v>20</v>
      </c>
      <c r="B6" t="s">
        <v>17</v>
      </c>
      <c r="C6" t="s">
        <v>26</v>
      </c>
      <c r="D6">
        <v>0.1</v>
      </c>
      <c r="E6" t="str">
        <f t="shared" si="0"/>
        <v>hybrid α = 0.1</v>
      </c>
      <c r="F6" s="1">
        <v>0.81069293618202198</v>
      </c>
      <c r="G6" s="1">
        <v>0.77088986131548798</v>
      </c>
      <c r="H6" s="2">
        <v>0.99868920000000005</v>
      </c>
      <c r="I6" s="1">
        <v>0.94317406000000004</v>
      </c>
      <c r="J6" s="1">
        <v>42.386665365784701</v>
      </c>
      <c r="K6" s="1">
        <v>69.822856988968098</v>
      </c>
      <c r="L6" s="1">
        <v>0.25906395515721597</v>
      </c>
      <c r="N6" t="s">
        <v>39</v>
      </c>
      <c r="O6" s="1">
        <v>0.25906395515721597</v>
      </c>
    </row>
    <row r="7" spans="1:15" x14ac:dyDescent="0.35">
      <c r="A7" t="s">
        <v>21</v>
      </c>
      <c r="B7" t="s">
        <v>17</v>
      </c>
      <c r="C7" t="s">
        <v>26</v>
      </c>
      <c r="D7">
        <v>0.3</v>
      </c>
      <c r="E7" t="str">
        <f t="shared" si="0"/>
        <v>hybrid α = 0.3</v>
      </c>
      <c r="F7" s="1">
        <v>0.82123264670371998</v>
      </c>
      <c r="G7" s="1">
        <v>0.78683175960183105</v>
      </c>
      <c r="H7" s="2">
        <v>0.99909029999999999</v>
      </c>
      <c r="I7" s="1">
        <v>0.94728069999999998</v>
      </c>
      <c r="J7" s="1">
        <v>53.210816494969897</v>
      </c>
      <c r="K7" s="1">
        <v>92.9856210555308</v>
      </c>
      <c r="L7" s="1">
        <v>0.240948576532068</v>
      </c>
      <c r="N7" t="s">
        <v>40</v>
      </c>
      <c r="O7" s="1">
        <v>0.240948576532068</v>
      </c>
    </row>
    <row r="8" spans="1:15" x14ac:dyDescent="0.35">
      <c r="A8" t="s">
        <v>22</v>
      </c>
      <c r="B8" t="s">
        <v>17</v>
      </c>
      <c r="C8" t="s">
        <v>26</v>
      </c>
      <c r="D8">
        <v>0.5</v>
      </c>
      <c r="E8" t="str">
        <f t="shared" si="0"/>
        <v>hybrid α = 0.5</v>
      </c>
      <c r="F8" s="1">
        <v>0.81110015511512701</v>
      </c>
      <c r="G8" s="1">
        <v>0.78931648617982797</v>
      </c>
      <c r="H8" s="2">
        <v>0.99914429999999999</v>
      </c>
      <c r="I8" s="1">
        <v>0.94368859999999999</v>
      </c>
      <c r="J8" s="1">
        <v>54.056257977413701</v>
      </c>
      <c r="K8" s="1">
        <v>98.847199884216494</v>
      </c>
      <c r="L8" s="1">
        <v>0.239937857882081</v>
      </c>
      <c r="N8" t="s">
        <v>41</v>
      </c>
      <c r="O8" s="1">
        <v>0.239937857882081</v>
      </c>
    </row>
    <row r="9" spans="1:15" x14ac:dyDescent="0.35">
      <c r="A9" t="s">
        <v>23</v>
      </c>
      <c r="B9" t="s">
        <v>17</v>
      </c>
      <c r="C9" t="s">
        <v>26</v>
      </c>
      <c r="D9">
        <v>0.7</v>
      </c>
      <c r="E9" t="str">
        <f t="shared" si="0"/>
        <v>hybrid α = 0.7</v>
      </c>
      <c r="F9" s="1">
        <v>0.81608763337135304</v>
      </c>
      <c r="G9" s="1">
        <v>0.78824623209237998</v>
      </c>
      <c r="H9" s="2">
        <v>0.99908850000000005</v>
      </c>
      <c r="I9" s="1">
        <v>0.95535930000000002</v>
      </c>
      <c r="J9" s="1">
        <v>58.992366296847599</v>
      </c>
      <c r="K9" s="1">
        <v>154.41181887318299</v>
      </c>
      <c r="L9" s="1">
        <v>0.23408797596046599</v>
      </c>
      <c r="N9" t="s">
        <v>42</v>
      </c>
      <c r="O9" s="1">
        <v>0.23408797596046599</v>
      </c>
    </row>
    <row r="10" spans="1:15" x14ac:dyDescent="0.35">
      <c r="A10" t="s">
        <v>24</v>
      </c>
      <c r="B10" t="s">
        <v>17</v>
      </c>
      <c r="C10" t="s">
        <v>26</v>
      </c>
      <c r="D10">
        <v>0.9</v>
      </c>
      <c r="E10" t="str">
        <f t="shared" si="0"/>
        <v>hybrid α = 0.9</v>
      </c>
      <c r="F10" s="1">
        <v>0.81813088059425298</v>
      </c>
      <c r="G10" s="1">
        <v>0.79326413378119398</v>
      </c>
      <c r="H10" s="2">
        <v>0.99900979999999995</v>
      </c>
      <c r="I10" s="1">
        <v>0.94397693999999999</v>
      </c>
      <c r="J10" s="1">
        <v>58.915067238990297</v>
      </c>
      <c r="K10" s="1">
        <v>107.04064617818599</v>
      </c>
      <c r="L10" s="1">
        <v>0.233539775918887</v>
      </c>
      <c r="N10" t="s">
        <v>43</v>
      </c>
      <c r="O10" s="1">
        <v>0.233539775918887</v>
      </c>
    </row>
  </sheetData>
  <mergeCells count="4">
    <mergeCell ref="E1:E2"/>
    <mergeCell ref="F1:G1"/>
    <mergeCell ref="H1:I1"/>
    <mergeCell ref="L1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summary_average_metrics</vt:lpstr>
      <vt:lpstr>Formal to Informal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Fikri Hasani</cp:lastModifiedBy>
  <dcterms:created xsi:type="dcterms:W3CDTF">2026-05-16T09:01:47Z</dcterms:created>
  <dcterms:modified xsi:type="dcterms:W3CDTF">2026-05-18T13:24:05Z</dcterms:modified>
</cp:coreProperties>
</file>